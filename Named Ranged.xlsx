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PNA\Dmart_Sales_Analysis\"/>
    </mc:Choice>
  </mc:AlternateContent>
  <xr:revisionPtr revIDLastSave="0" documentId="13_ncr:1_{99C1F68C-4512-41BB-A099-8FD9A61CB285}" xr6:coauthVersionLast="47" xr6:coauthVersionMax="47" xr10:uidLastSave="{00000000-0000-0000-0000-000000000000}"/>
  <bookViews>
    <workbookView xWindow="-108" yWindow="-108" windowWidth="23256" windowHeight="12456" activeTab="1" xr2:uid="{B4B52996-F5F9-4EFF-9EB4-E182F002C314}"/>
  </bookViews>
  <sheets>
    <sheet name="Tracing_Dependent &amp; Precedents" sheetId="1" r:id="rId1"/>
    <sheet name="Named Ranged" sheetId="2" r:id="rId2"/>
  </sheets>
  <definedNames>
    <definedName name="_xlnm._FilterDatabase" localSheetId="1" hidden="1">'Named Ranged'!$A$1:$E$10</definedName>
    <definedName name="English_Marks">'Named Ranged'!$B:$B</definedName>
    <definedName name="English_Marks_Reduced_by_10">'Named Ranged'!$G:$G</definedName>
    <definedName name="Math_Marks">'Named Ranged'!$C:$C</definedName>
    <definedName name="Science_Marks">'Named Ranged'!$D:$D</definedName>
    <definedName name="Student_Name">'Named Ranged'!$A:$A</definedName>
    <definedName name="Updated_Total_Marks">'Named Ranged'!$H:$H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2" l="1"/>
  <c r="G6" i="2"/>
  <c r="H6" i="2" s="1"/>
  <c r="G3" i="2"/>
  <c r="H3" i="2" s="1"/>
  <c r="G4" i="2"/>
  <c r="H4" i="2" s="1"/>
  <c r="G5" i="2"/>
  <c r="H5" i="2" s="1"/>
  <c r="G7" i="2"/>
  <c r="H7" i="2" s="1"/>
  <c r="G8" i="2"/>
  <c r="H8" i="2" s="1"/>
  <c r="G9" i="2"/>
  <c r="H9" i="2" s="1"/>
  <c r="G10" i="2"/>
  <c r="H10" i="2" s="1"/>
  <c r="G2" i="2"/>
  <c r="H2" i="2" s="1"/>
  <c r="E7" i="2"/>
  <c r="E10" i="2"/>
  <c r="E9" i="2"/>
  <c r="E8" i="2"/>
  <c r="E3" i="2"/>
  <c r="E6" i="2"/>
  <c r="E4" i="2"/>
  <c r="B12" i="2"/>
  <c r="E5" i="2" s="1"/>
  <c r="C12" i="2"/>
  <c r="D12" i="2"/>
  <c r="K16" i="1"/>
  <c r="K17" i="1"/>
  <c r="K18" i="1"/>
  <c r="K19" i="1"/>
  <c r="K20" i="1"/>
  <c r="K15" i="1"/>
  <c r="F16" i="1"/>
  <c r="F17" i="1"/>
  <c r="F18" i="1"/>
  <c r="F15" i="1"/>
  <c r="E16" i="1"/>
  <c r="E17" i="1"/>
  <c r="E18" i="1"/>
  <c r="E15" i="1"/>
  <c r="K9" i="1"/>
  <c r="N2" i="1"/>
  <c r="N9" i="1"/>
  <c r="N3" i="1"/>
  <c r="N4" i="1"/>
  <c r="N5" i="1"/>
  <c r="N6" i="1"/>
  <c r="N7" i="1"/>
  <c r="N8" i="1"/>
  <c r="M3" i="1"/>
  <c r="M4" i="1"/>
  <c r="M5" i="1"/>
  <c r="M6" i="1"/>
  <c r="M7" i="1"/>
  <c r="M8" i="1"/>
  <c r="M9" i="1"/>
  <c r="M2" i="1"/>
  <c r="L9" i="1"/>
  <c r="J9" i="1"/>
  <c r="I9" i="1"/>
  <c r="F9" i="1"/>
  <c r="G9" i="1"/>
  <c r="H9" i="1"/>
  <c r="L3" i="1"/>
  <c r="L4" i="1"/>
  <c r="L5" i="1"/>
  <c r="L6" i="1"/>
  <c r="L7" i="1"/>
  <c r="L8" i="1"/>
  <c r="L2" i="1"/>
  <c r="K3" i="1"/>
  <c r="K4" i="1"/>
  <c r="K5" i="1"/>
  <c r="K6" i="1"/>
  <c r="K7" i="1"/>
  <c r="K8" i="1"/>
  <c r="K2" i="1"/>
  <c r="J3" i="1"/>
  <c r="J4" i="1"/>
  <c r="J5" i="1"/>
  <c r="J6" i="1"/>
  <c r="J7" i="1"/>
  <c r="J8" i="1"/>
  <c r="J2" i="1"/>
  <c r="I3" i="1"/>
  <c r="I4" i="1"/>
  <c r="I5" i="1"/>
  <c r="I6" i="1"/>
  <c r="I7" i="1"/>
  <c r="I8" i="1"/>
  <c r="I2" i="1"/>
  <c r="H3" i="1"/>
  <c r="H4" i="1"/>
  <c r="H5" i="1"/>
  <c r="H6" i="1"/>
  <c r="H7" i="1"/>
  <c r="H8" i="1"/>
  <c r="H2" i="1"/>
  <c r="D9" i="1"/>
  <c r="D4" i="1"/>
  <c r="D5" i="1"/>
  <c r="D6" i="1"/>
  <c r="D7" i="1"/>
  <c r="D8" i="1"/>
  <c r="D3" i="1"/>
  <c r="I9" i="2" l="1"/>
  <c r="H12" i="2"/>
  <c r="F2" i="2"/>
</calcChain>
</file>

<file path=xl/sharedStrings.xml><?xml version="1.0" encoding="utf-8"?>
<sst xmlns="http://schemas.openxmlformats.org/spreadsheetml/2006/main" count="43" uniqueCount="40">
  <si>
    <t>Num1</t>
  </si>
  <si>
    <t>Num2</t>
  </si>
  <si>
    <t>SUM</t>
  </si>
  <si>
    <t>Difference</t>
  </si>
  <si>
    <t>Product</t>
  </si>
  <si>
    <t>Division</t>
  </si>
  <si>
    <t>Average</t>
  </si>
  <si>
    <t>Autosum</t>
  </si>
  <si>
    <t>P</t>
  </si>
  <si>
    <t>N</t>
  </si>
  <si>
    <t>R(%)</t>
  </si>
  <si>
    <t>SI</t>
  </si>
  <si>
    <t>Item</t>
  </si>
  <si>
    <t>Price</t>
  </si>
  <si>
    <t>Qty</t>
  </si>
  <si>
    <t>Amount</t>
  </si>
  <si>
    <t>Abs Refer</t>
  </si>
  <si>
    <t>Apple</t>
  </si>
  <si>
    <t>Banana</t>
  </si>
  <si>
    <t>Mango</t>
  </si>
  <si>
    <t>Oranges</t>
  </si>
  <si>
    <t>Total Marks By Subject</t>
  </si>
  <si>
    <t>chintu</t>
  </si>
  <si>
    <t>chinoy</t>
  </si>
  <si>
    <t>Bhargav</t>
  </si>
  <si>
    <t>Bhavin</t>
  </si>
  <si>
    <t>Bhavesh</t>
  </si>
  <si>
    <t>Ajay</t>
  </si>
  <si>
    <t>Abhay</t>
  </si>
  <si>
    <t>Aman</t>
  </si>
  <si>
    <t>Science</t>
  </si>
  <si>
    <t>Math</t>
  </si>
  <si>
    <t>English</t>
  </si>
  <si>
    <t>Name</t>
  </si>
  <si>
    <t>English Marks Reduced by 10%</t>
  </si>
  <si>
    <t>Updated Total Marks</t>
  </si>
  <si>
    <t>Total Marks</t>
  </si>
  <si>
    <t>Sum of Total Marks</t>
  </si>
  <si>
    <t>Melodi</t>
  </si>
  <si>
    <t>Sum of Updated Total 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</si>
</sst>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1">
    <dxf>
      <fill>
        <patternFill patternType="solid">
          <fgColor indexed="64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A70C2D-523D-4500-A494-736A759F98CD}" name="Table1" displayName="Table1" ref="A1:E10" totalsRowShown="0" headerRowDxfId="0">
  <autoFilter ref="A1:E10" xr:uid="{6E9098FA-A689-46E5-88DE-B9F370145CD4}"/>
  <sortState xmlns:xlrd2="http://schemas.microsoft.com/office/spreadsheetml/2017/richdata2" ref="A2:E10">
    <sortCondition descending="1" ref="B1:B10"/>
  </sortState>
  <tableColumns count="5">
    <tableColumn id="1" xr3:uid="{D7FDCD06-6F01-4813-994F-E3D3DA5620AD}" name="Name"/>
    <tableColumn id="2" xr3:uid="{9A79680B-94CB-4F78-BB72-CB641373010A}" name="English"/>
    <tableColumn id="3" xr3:uid="{4CBF9B4E-BD03-4DC5-98B3-4ED24EAFB7B4}" name="Math"/>
    <tableColumn id="4" xr3:uid="{16B25912-2791-4B3D-BBCD-95C3D147BED1}" name="Science"/>
    <tableColumn id="5" xr3:uid="{E91E27B0-A912-4B37-87D0-ED6685EB3D73}" name="Total Marks">
      <calculatedColumnFormula>SUM(B2:D2)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A4CC6-A9B1-4EA9-A9EC-6FC5C613C0D3}">
  <dimension ref="A1:N20"/>
  <sheetViews>
    <sheetView workbookViewId="0">
      <selection activeCell="N18" sqref="N18"/>
    </sheetView>
  </sheetViews>
  <sheetFormatPr defaultRowHeight="14.4" x14ac:dyDescent="0.3"/>
  <cols>
    <col min="9" max="9" width="11.6640625" customWidth="1"/>
  </cols>
  <sheetData>
    <row r="1" spans="1:14" x14ac:dyDescent="0.3"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/>
      <c r="L1" s="1" t="s">
        <v>5</v>
      </c>
      <c r="M1" s="1" t="s">
        <v>6</v>
      </c>
      <c r="N1" s="1" t="s">
        <v>7</v>
      </c>
    </row>
    <row r="2" spans="1:14" x14ac:dyDescent="0.3">
      <c r="A2" t="s">
        <v>8</v>
      </c>
      <c r="B2" t="s">
        <v>9</v>
      </c>
      <c r="C2" t="s">
        <v>10</v>
      </c>
      <c r="D2" t="s">
        <v>11</v>
      </c>
      <c r="F2">
        <v>10</v>
      </c>
      <c r="G2">
        <v>100</v>
      </c>
      <c r="H2">
        <f>F2+G2</f>
        <v>110</v>
      </c>
      <c r="I2">
        <f>F2-G2</f>
        <v>-90</v>
      </c>
      <c r="J2">
        <f>F2*G2</f>
        <v>1000</v>
      </c>
      <c r="K2">
        <f>J2</f>
        <v>1000</v>
      </c>
      <c r="L2">
        <f>F2/G2</f>
        <v>0.1</v>
      </c>
      <c r="M2">
        <f>AVERAGE(F2:G2)</f>
        <v>55</v>
      </c>
      <c r="N2" s="3">
        <f>SUM(F2:M2)</f>
        <v>2185.1</v>
      </c>
    </row>
    <row r="3" spans="1:14" x14ac:dyDescent="0.3">
      <c r="A3">
        <v>1000</v>
      </c>
      <c r="B3">
        <v>30</v>
      </c>
      <c r="C3">
        <v>5</v>
      </c>
      <c r="D3">
        <f>A3*B3*C3/1200</f>
        <v>125</v>
      </c>
      <c r="F3">
        <v>20</v>
      </c>
      <c r="G3">
        <v>120</v>
      </c>
      <c r="H3">
        <f t="shared" ref="H3:H8" si="0">F3+G3</f>
        <v>140</v>
      </c>
      <c r="I3">
        <f t="shared" ref="I3:I8" si="1">F3-G3</f>
        <v>-100</v>
      </c>
      <c r="J3">
        <f t="shared" ref="J3:J8" si="2">F3*G3</f>
        <v>2400</v>
      </c>
      <c r="K3">
        <f t="shared" ref="K3:K9" si="3">J3</f>
        <v>2400</v>
      </c>
      <c r="L3">
        <f t="shared" ref="L3:L8" si="4">F3/G3</f>
        <v>0.16666666666666666</v>
      </c>
      <c r="M3">
        <f t="shared" ref="M3:M9" si="5">AVERAGE(F3:G3)</f>
        <v>70</v>
      </c>
      <c r="N3" s="3">
        <f t="shared" ref="N3:N9" si="6">SUM(F3:M3)</f>
        <v>5050.166666666667</v>
      </c>
    </row>
    <row r="4" spans="1:14" x14ac:dyDescent="0.3">
      <c r="A4">
        <v>2345</v>
      </c>
      <c r="B4">
        <v>24</v>
      </c>
      <c r="C4">
        <v>8</v>
      </c>
      <c r="D4">
        <f t="shared" ref="D4:D9" si="7">A4*B4*C4/1200</f>
        <v>375.2</v>
      </c>
      <c r="F4">
        <v>30</v>
      </c>
      <c r="G4">
        <v>130</v>
      </c>
      <c r="H4">
        <f t="shared" si="0"/>
        <v>160</v>
      </c>
      <c r="I4">
        <f t="shared" si="1"/>
        <v>-100</v>
      </c>
      <c r="J4">
        <f t="shared" si="2"/>
        <v>3900</v>
      </c>
      <c r="K4">
        <f t="shared" si="3"/>
        <v>3900</v>
      </c>
      <c r="L4">
        <f t="shared" si="4"/>
        <v>0.23076923076923078</v>
      </c>
      <c r="M4">
        <f t="shared" si="5"/>
        <v>80</v>
      </c>
      <c r="N4" s="3">
        <f t="shared" si="6"/>
        <v>8100.2307692307695</v>
      </c>
    </row>
    <row r="5" spans="1:14" x14ac:dyDescent="0.3">
      <c r="A5">
        <v>500000</v>
      </c>
      <c r="B5">
        <v>56</v>
      </c>
      <c r="C5">
        <v>7.5</v>
      </c>
      <c r="D5">
        <f t="shared" si="7"/>
        <v>175000</v>
      </c>
      <c r="F5">
        <v>40</v>
      </c>
      <c r="G5">
        <v>140</v>
      </c>
      <c r="H5">
        <f t="shared" si="0"/>
        <v>180</v>
      </c>
      <c r="I5">
        <f t="shared" si="1"/>
        <v>-100</v>
      </c>
      <c r="J5">
        <f t="shared" si="2"/>
        <v>5600</v>
      </c>
      <c r="K5">
        <f t="shared" si="3"/>
        <v>5600</v>
      </c>
      <c r="L5">
        <f t="shared" si="4"/>
        <v>0.2857142857142857</v>
      </c>
      <c r="M5">
        <f t="shared" si="5"/>
        <v>90</v>
      </c>
      <c r="N5" s="3">
        <f t="shared" si="6"/>
        <v>11550.285714285714</v>
      </c>
    </row>
    <row r="6" spans="1:14" x14ac:dyDescent="0.3">
      <c r="A6">
        <v>100000</v>
      </c>
      <c r="B6">
        <v>58</v>
      </c>
      <c r="C6">
        <v>6.75</v>
      </c>
      <c r="D6">
        <f t="shared" si="7"/>
        <v>32625</v>
      </c>
      <c r="F6">
        <v>50</v>
      </c>
      <c r="G6">
        <v>170</v>
      </c>
      <c r="H6">
        <f t="shared" si="0"/>
        <v>220</v>
      </c>
      <c r="I6">
        <f t="shared" si="1"/>
        <v>-120</v>
      </c>
      <c r="J6">
        <f t="shared" si="2"/>
        <v>8500</v>
      </c>
      <c r="K6">
        <f t="shared" si="3"/>
        <v>8500</v>
      </c>
      <c r="L6">
        <f t="shared" si="4"/>
        <v>0.29411764705882354</v>
      </c>
      <c r="M6">
        <f t="shared" si="5"/>
        <v>110</v>
      </c>
      <c r="N6" s="3">
        <f t="shared" si="6"/>
        <v>17430.294117647059</v>
      </c>
    </row>
    <row r="7" spans="1:14" x14ac:dyDescent="0.3">
      <c r="A7">
        <v>140000</v>
      </c>
      <c r="B7">
        <v>12</v>
      </c>
      <c r="C7">
        <v>7.5</v>
      </c>
      <c r="D7">
        <f t="shared" si="7"/>
        <v>10500</v>
      </c>
      <c r="F7">
        <v>60</v>
      </c>
      <c r="G7">
        <v>456</v>
      </c>
      <c r="H7">
        <f t="shared" si="0"/>
        <v>516</v>
      </c>
      <c r="I7">
        <f t="shared" si="1"/>
        <v>-396</v>
      </c>
      <c r="J7">
        <f t="shared" si="2"/>
        <v>27360</v>
      </c>
      <c r="K7">
        <f t="shared" si="3"/>
        <v>27360</v>
      </c>
      <c r="L7">
        <f t="shared" si="4"/>
        <v>0.13157894736842105</v>
      </c>
      <c r="M7">
        <f t="shared" si="5"/>
        <v>258</v>
      </c>
      <c r="N7" s="3">
        <f t="shared" si="6"/>
        <v>55614.131578947367</v>
      </c>
    </row>
    <row r="8" spans="1:14" x14ac:dyDescent="0.3">
      <c r="A8">
        <v>600000</v>
      </c>
      <c r="B8">
        <v>25</v>
      </c>
      <c r="C8">
        <v>8.25</v>
      </c>
      <c r="D8">
        <f t="shared" si="7"/>
        <v>103125</v>
      </c>
      <c r="F8">
        <v>70</v>
      </c>
      <c r="G8">
        <v>78</v>
      </c>
      <c r="H8">
        <f t="shared" si="0"/>
        <v>148</v>
      </c>
      <c r="I8">
        <f t="shared" si="1"/>
        <v>-8</v>
      </c>
      <c r="J8">
        <f t="shared" si="2"/>
        <v>5460</v>
      </c>
      <c r="K8">
        <f t="shared" si="3"/>
        <v>5460</v>
      </c>
      <c r="L8">
        <f t="shared" si="4"/>
        <v>0.89743589743589747</v>
      </c>
      <c r="M8">
        <f t="shared" si="5"/>
        <v>74</v>
      </c>
      <c r="N8" s="3">
        <f t="shared" si="6"/>
        <v>11282.897435897436</v>
      </c>
    </row>
    <row r="9" spans="1:14" x14ac:dyDescent="0.3">
      <c r="B9">
        <v>23</v>
      </c>
      <c r="C9">
        <v>12</v>
      </c>
      <c r="D9">
        <f t="shared" si="7"/>
        <v>0</v>
      </c>
      <c r="F9" s="2">
        <f>SUM(F2:F8)</f>
        <v>280</v>
      </c>
      <c r="G9" s="2">
        <f>SUM(G2:G8)</f>
        <v>1194</v>
      </c>
      <c r="H9" s="2">
        <f>SUM(H2:H8)</f>
        <v>1474</v>
      </c>
      <c r="I9" s="2">
        <f>SUM(I2:I8)</f>
        <v>-914</v>
      </c>
      <c r="J9" s="2">
        <f>SUM(J2:J8)</f>
        <v>54220</v>
      </c>
      <c r="K9" s="2">
        <f t="shared" si="3"/>
        <v>54220</v>
      </c>
      <c r="L9" s="2">
        <f>SUM(L2:L8)</f>
        <v>2.106282675013325</v>
      </c>
      <c r="M9" s="2">
        <f t="shared" si="5"/>
        <v>737</v>
      </c>
      <c r="N9" s="3">
        <f t="shared" si="6"/>
        <v>111213.10628267501</v>
      </c>
    </row>
    <row r="10" spans="1:14" x14ac:dyDescent="0.3">
      <c r="F10">
        <v>214</v>
      </c>
      <c r="G10">
        <v>235</v>
      </c>
      <c r="H10">
        <v>3487583</v>
      </c>
      <c r="I10">
        <v>459938</v>
      </c>
      <c r="J10">
        <v>89</v>
      </c>
      <c r="K10">
        <v>909</v>
      </c>
      <c r="L10">
        <v>78</v>
      </c>
      <c r="M10">
        <v>9877</v>
      </c>
      <c r="N10">
        <v>83133</v>
      </c>
    </row>
    <row r="14" spans="1:14" x14ac:dyDescent="0.3">
      <c r="B14" t="s">
        <v>12</v>
      </c>
      <c r="C14" t="s">
        <v>13</v>
      </c>
      <c r="D14" t="s">
        <v>14</v>
      </c>
      <c r="E14" t="s">
        <v>15</v>
      </c>
      <c r="F14" t="s">
        <v>16</v>
      </c>
      <c r="I14" t="s">
        <v>0</v>
      </c>
      <c r="J14" t="s">
        <v>1</v>
      </c>
      <c r="K14" t="s">
        <v>2</v>
      </c>
    </row>
    <row r="15" spans="1:14" x14ac:dyDescent="0.3">
      <c r="B15" t="s">
        <v>17</v>
      </c>
      <c r="C15">
        <v>5</v>
      </c>
      <c r="D15">
        <v>10</v>
      </c>
      <c r="E15">
        <f>D15*$C$17</f>
        <v>37.5</v>
      </c>
      <c r="F15">
        <f>$C$15*$D$15</f>
        <v>50</v>
      </c>
      <c r="I15">
        <v>55</v>
      </c>
      <c r="J15">
        <v>45</v>
      </c>
      <c r="K15">
        <f>$I$15+J15</f>
        <v>100</v>
      </c>
    </row>
    <row r="16" spans="1:14" x14ac:dyDescent="0.3">
      <c r="B16" t="s">
        <v>18</v>
      </c>
      <c r="C16">
        <v>3.5</v>
      </c>
      <c r="D16">
        <v>24</v>
      </c>
      <c r="E16">
        <f t="shared" ref="E16:E18" si="8">D16*$C$17</f>
        <v>90</v>
      </c>
      <c r="F16">
        <f t="shared" ref="F16:F18" si="9">$C$15*$D$15</f>
        <v>50</v>
      </c>
      <c r="I16">
        <v>65</v>
      </c>
      <c r="J16">
        <v>12</v>
      </c>
      <c r="K16">
        <f t="shared" ref="K16:K20" si="10">$I$15+J16</f>
        <v>67</v>
      </c>
    </row>
    <row r="17" spans="2:11" x14ac:dyDescent="0.3">
      <c r="B17" t="s">
        <v>19</v>
      </c>
      <c r="C17">
        <v>3.75</v>
      </c>
      <c r="D17">
        <v>12</v>
      </c>
      <c r="E17">
        <f t="shared" si="8"/>
        <v>45</v>
      </c>
      <c r="F17">
        <f t="shared" si="9"/>
        <v>50</v>
      </c>
      <c r="I17">
        <v>75</v>
      </c>
      <c r="J17">
        <v>13</v>
      </c>
      <c r="K17">
        <f t="shared" si="10"/>
        <v>68</v>
      </c>
    </row>
    <row r="18" spans="2:11" x14ac:dyDescent="0.3">
      <c r="B18" t="s">
        <v>20</v>
      </c>
      <c r="C18">
        <v>4</v>
      </c>
      <c r="D18">
        <v>10</v>
      </c>
      <c r="E18">
        <f t="shared" si="8"/>
        <v>37.5</v>
      </c>
      <c r="F18">
        <f t="shared" si="9"/>
        <v>50</v>
      </c>
      <c r="I18">
        <v>85</v>
      </c>
      <c r="J18">
        <v>14</v>
      </c>
      <c r="K18">
        <f t="shared" si="10"/>
        <v>69</v>
      </c>
    </row>
    <row r="19" spans="2:11" x14ac:dyDescent="0.3">
      <c r="I19">
        <v>95</v>
      </c>
      <c r="J19">
        <v>15</v>
      </c>
      <c r="K19">
        <f t="shared" si="10"/>
        <v>70</v>
      </c>
    </row>
    <row r="20" spans="2:11" x14ac:dyDescent="0.3">
      <c r="I20">
        <v>100</v>
      </c>
      <c r="J20">
        <v>16</v>
      </c>
      <c r="K20">
        <f t="shared" si="10"/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098FA-A689-46E5-88DE-B9F370145CD4}">
  <dimension ref="A1:I12"/>
  <sheetViews>
    <sheetView tabSelected="1" workbookViewId="0">
      <selection activeCell="G21" sqref="G21"/>
    </sheetView>
  </sheetViews>
  <sheetFormatPr defaultRowHeight="14.4" x14ac:dyDescent="0.3"/>
  <cols>
    <col min="1" max="1" width="19" customWidth="1"/>
    <col min="4" max="4" width="9.5546875" customWidth="1"/>
    <col min="5" max="5" width="15" customWidth="1"/>
    <col min="6" max="6" width="30.6640625" customWidth="1"/>
    <col min="7" max="7" width="27.109375" customWidth="1"/>
    <col min="8" max="8" width="19.77734375" customWidth="1"/>
    <col min="9" max="9" width="18" customWidth="1"/>
  </cols>
  <sheetData>
    <row r="1" spans="1:9" x14ac:dyDescent="0.3">
      <c r="A1" s="1" t="s">
        <v>33</v>
      </c>
      <c r="B1" s="1" t="s">
        <v>32</v>
      </c>
      <c r="C1" s="1" t="s">
        <v>31</v>
      </c>
      <c r="D1" s="1" t="s">
        <v>30</v>
      </c>
      <c r="E1" s="1" t="s">
        <v>36</v>
      </c>
      <c r="G1" s="1" t="s">
        <v>34</v>
      </c>
      <c r="H1" s="1" t="s">
        <v>35</v>
      </c>
    </row>
    <row r="2" spans="1:9" x14ac:dyDescent="0.3">
      <c r="A2" t="s">
        <v>38</v>
      </c>
      <c r="B2">
        <v>99</v>
      </c>
      <c r="C2">
        <v>75</v>
      </c>
      <c r="D2">
        <v>86</v>
      </c>
      <c r="E2">
        <f>SUM(B2:D2)</f>
        <v>260</v>
      </c>
      <c r="F2">
        <f>SUM(E2:E10)</f>
        <v>2245</v>
      </c>
      <c r="G2">
        <f>B2*90%</f>
        <v>89.100000000000009</v>
      </c>
      <c r="H2">
        <f>G2+C2+D2</f>
        <v>250.10000000000002</v>
      </c>
    </row>
    <row r="3" spans="1:9" x14ac:dyDescent="0.3">
      <c r="A3" t="s">
        <v>24</v>
      </c>
      <c r="B3">
        <v>98</v>
      </c>
      <c r="C3">
        <v>85</v>
      </c>
      <c r="D3">
        <v>98</v>
      </c>
      <c r="E3">
        <f>SUM(B3:D3)</f>
        <v>281</v>
      </c>
      <c r="G3">
        <f t="shared" ref="G3:G10" si="0">B3*90%</f>
        <v>88.2</v>
      </c>
      <c r="H3">
        <f t="shared" ref="H3:H10" si="1">G3+C3+D3</f>
        <v>271.2</v>
      </c>
    </row>
    <row r="4" spans="1:9" x14ac:dyDescent="0.3">
      <c r="A4" t="s">
        <v>22</v>
      </c>
      <c r="B4">
        <v>92</v>
      </c>
      <c r="C4">
        <v>92</v>
      </c>
      <c r="D4">
        <v>87</v>
      </c>
      <c r="E4">
        <f>SUM(B4:D4)</f>
        <v>271</v>
      </c>
      <c r="G4">
        <f t="shared" si="0"/>
        <v>82.8</v>
      </c>
      <c r="H4">
        <f t="shared" si="1"/>
        <v>261.8</v>
      </c>
    </row>
    <row r="5" spans="1:9" x14ac:dyDescent="0.3">
      <c r="A5" t="s">
        <v>29</v>
      </c>
      <c r="B5">
        <v>89</v>
      </c>
      <c r="C5">
        <v>87</v>
      </c>
      <c r="D5">
        <v>75</v>
      </c>
      <c r="E5">
        <f>SUM(B5:D5)</f>
        <v>251</v>
      </c>
      <c r="G5">
        <f t="shared" si="0"/>
        <v>80.100000000000009</v>
      </c>
      <c r="H5">
        <f t="shared" si="1"/>
        <v>242.10000000000002</v>
      </c>
    </row>
    <row r="6" spans="1:9" x14ac:dyDescent="0.3">
      <c r="A6" t="s">
        <v>23</v>
      </c>
      <c r="B6">
        <v>87</v>
      </c>
      <c r="C6">
        <v>78</v>
      </c>
      <c r="D6">
        <v>78</v>
      </c>
      <c r="E6">
        <f>SUM(B6:D6)</f>
        <v>243</v>
      </c>
      <c r="G6">
        <f t="shared" si="0"/>
        <v>78.3</v>
      </c>
      <c r="H6">
        <f t="shared" si="1"/>
        <v>234.3</v>
      </c>
    </row>
    <row r="7" spans="1:9" x14ac:dyDescent="0.3">
      <c r="A7" t="s">
        <v>28</v>
      </c>
      <c r="B7">
        <v>78</v>
      </c>
      <c r="C7">
        <v>85</v>
      </c>
      <c r="D7">
        <v>76</v>
      </c>
      <c r="E7">
        <f>SUM(B7:D7)</f>
        <v>239</v>
      </c>
      <c r="G7">
        <f t="shared" si="0"/>
        <v>70.2</v>
      </c>
      <c r="H7">
        <f t="shared" si="1"/>
        <v>231.2</v>
      </c>
    </row>
    <row r="8" spans="1:9" x14ac:dyDescent="0.3">
      <c r="A8" t="s">
        <v>25</v>
      </c>
      <c r="B8">
        <v>78</v>
      </c>
      <c r="C8">
        <v>80</v>
      </c>
      <c r="D8">
        <v>87</v>
      </c>
      <c r="E8">
        <f>SUM(B8:D8)</f>
        <v>245</v>
      </c>
      <c r="G8">
        <f t="shared" si="0"/>
        <v>70.2</v>
      </c>
      <c r="H8">
        <f t="shared" si="1"/>
        <v>237.2</v>
      </c>
      <c r="I8" s="1" t="s">
        <v>37</v>
      </c>
    </row>
    <row r="9" spans="1:9" x14ac:dyDescent="0.3">
      <c r="A9" t="s">
        <v>26</v>
      </c>
      <c r="B9">
        <v>65</v>
      </c>
      <c r="C9">
        <v>89</v>
      </c>
      <c r="D9">
        <v>86</v>
      </c>
      <c r="E9">
        <f>SUM(B9:D9)</f>
        <v>240</v>
      </c>
      <c r="G9">
        <f t="shared" si="0"/>
        <v>58.5</v>
      </c>
      <c r="H9">
        <f t="shared" si="1"/>
        <v>233.5</v>
      </c>
      <c r="I9" s="1">
        <f>SUM(E2:E10)</f>
        <v>2245</v>
      </c>
    </row>
    <row r="10" spans="1:9" x14ac:dyDescent="0.3">
      <c r="A10" t="s">
        <v>27</v>
      </c>
      <c r="B10">
        <v>56</v>
      </c>
      <c r="C10">
        <v>74</v>
      </c>
      <c r="D10">
        <v>85</v>
      </c>
      <c r="E10">
        <f>SUM(B10:D10)</f>
        <v>215</v>
      </c>
      <c r="G10">
        <f t="shared" si="0"/>
        <v>50.4</v>
      </c>
      <c r="H10">
        <f t="shared" si="1"/>
        <v>209.4</v>
      </c>
    </row>
    <row r="12" spans="1:9" x14ac:dyDescent="0.3">
      <c r="A12" s="1" t="s">
        <v>21</v>
      </c>
      <c r="B12">
        <f>SUM(B2:B10)</f>
        <v>742</v>
      </c>
      <c r="C12">
        <f>SUM(C2:C10)</f>
        <v>745</v>
      </c>
      <c r="D12">
        <f>SUM(D2:D10)</f>
        <v>758</v>
      </c>
      <c r="G12" s="1" t="s">
        <v>39</v>
      </c>
      <c r="H12" s="1">
        <f>SUM(H2:H10)</f>
        <v>2170.7999999999997</v>
      </c>
    </row>
  </sheetData>
  <conditionalFormatting sqref="B2:D10">
    <cfRule type="iconSet" priority="1">
      <iconSet iconSet="3Arrows" showValue="0">
        <cfvo type="percent" val="0"/>
        <cfvo type="percent" val="33"/>
        <cfvo type="percent" val="67"/>
      </iconSet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HeadingPairs>
  <TitlesOfParts>
    <vt:vector size="8" baseType="lpstr">
      <vt:lpstr>Tracing_Dependent &amp; Precedents</vt:lpstr>
      <vt:lpstr>Named Ranged</vt:lpstr>
      <vt:lpstr>English_Marks</vt:lpstr>
      <vt:lpstr>English_Marks_Reduced_by_10</vt:lpstr>
      <vt:lpstr>Math_Marks</vt:lpstr>
      <vt:lpstr>Science_Marks</vt:lpstr>
      <vt:lpstr>Student_Name</vt:lpstr>
      <vt:lpstr>Updated_Total_Marks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SAPNA</dc:creator>
  <cp:keywords/>
  <dc:description/>
  <cp:lastModifiedBy>Sapna Tembhurne</cp:lastModifiedBy>
  <cp:revision/>
  <dcterms:created xsi:type="dcterms:W3CDTF">2026-08-07T09:40:38Z</dcterms:created>
  <dcterms:modified xsi:type="dcterms:W3CDTF">2026-08-12T08:43:44Z</dcterms:modified>
  <cp:category/>
  <cp:contentStatus/>
</cp:coreProperties>
</file>